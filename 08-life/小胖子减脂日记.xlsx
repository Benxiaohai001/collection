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31360" windowHeight="15660"/>
  </bookViews>
  <sheets>
    <sheet name="减脂日记" sheetId="1" r:id="rId1"/>
  </sheets>
  <definedNames>
    <definedName name="_xlnm._FilterDatabase" localSheetId="0" hidden="1">减脂日记!$A$1:$G$79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<sst xmlns="http://schemas.openxmlformats.org/spreadsheetml/2006/main" count="262" uniqueCount="114">
  <si>
    <t>日期</t>
  </si>
  <si>
    <t>周几</t>
  </si>
  <si>
    <t>期望</t>
  </si>
  <si>
    <t>体重(kg)</t>
  </si>
  <si>
    <t>减重</t>
  </si>
  <si>
    <t>累计</t>
  </si>
  <si>
    <t>备注</t>
  </si>
  <si>
    <t>2026-03-01</t>
  </si>
  <si>
    <t>周日</t>
  </si>
  <si>
    <t/>
  </si>
  <si>
    <t>2026-03-02</t>
  </si>
  <si>
    <t>周一</t>
  </si>
  <si>
    <t>2026-03-03</t>
  </si>
  <si>
    <t>周二</t>
  </si>
  <si>
    <t>2026-03-14</t>
  </si>
  <si>
    <t>周六</t>
  </si>
  <si>
    <t>2026-03-19</t>
  </si>
  <si>
    <t>周四</t>
  </si>
  <si>
    <t>当前行与前面称重不科学，不采纳</t>
  </si>
  <si>
    <t>2026-03-20</t>
  </si>
  <si>
    <t>周五</t>
  </si>
  <si>
    <t>2026-03-21</t>
  </si>
  <si>
    <t>2026-03-22</t>
  </si>
  <si>
    <t>2026-03-24</t>
  </si>
  <si>
    <t>2026-03-25</t>
  </si>
  <si>
    <t>周三</t>
  </si>
  <si>
    <t>2026-03-26</t>
  </si>
  <si>
    <t>公司聚餐</t>
  </si>
  <si>
    <t>2026-03-27</t>
  </si>
  <si>
    <t>第一周减少了1.55</t>
  </si>
  <si>
    <t>2026-03-28</t>
  </si>
  <si>
    <t>2026-03-29</t>
  </si>
  <si>
    <t>2026-03-30</t>
  </si>
  <si>
    <t>2026-03-31</t>
  </si>
  <si>
    <t>2026-04-01</t>
  </si>
  <si>
    <t>开始水果</t>
  </si>
  <si>
    <t>2026-04-02</t>
  </si>
  <si>
    <t>2026-04-03</t>
  </si>
  <si>
    <t>第二周减少了1.3</t>
  </si>
  <si>
    <t>2026-04-04</t>
  </si>
  <si>
    <t>2026-04-05</t>
  </si>
  <si>
    <t>2026-04-06</t>
  </si>
  <si>
    <t>2026-04-07</t>
  </si>
  <si>
    <t>2026-04-08</t>
  </si>
  <si>
    <t>2026-04-09</t>
  </si>
  <si>
    <t>2026-04-10</t>
  </si>
  <si>
    <t>第三周减少了0.35</t>
  </si>
  <si>
    <t>2026-04-11</t>
  </si>
  <si>
    <t>爬香山</t>
  </si>
  <si>
    <t>2026-04-12</t>
  </si>
  <si>
    <t>2026-04-13</t>
  </si>
  <si>
    <t>2026-04-14</t>
  </si>
  <si>
    <t>2026-04-15</t>
  </si>
  <si>
    <t>开始水果，party</t>
  </si>
  <si>
    <t>2026-04-16</t>
  </si>
  <si>
    <t>2026-04-17</t>
  </si>
  <si>
    <t>周四下雨，不能打球0.1-0.15</t>
  </si>
  <si>
    <t>本周总体来说还没出现反弹的情况，第四周减少2.85</t>
  </si>
  <si>
    <t>2026-04-18</t>
  </si>
  <si>
    <t>周五打球，天气正常，计划减脂0.2-0.25</t>
  </si>
  <si>
    <t>2026-04-19</t>
  </si>
  <si>
    <t>爬香山，吃了螺狮粉</t>
  </si>
  <si>
    <t>2026-04-20</t>
  </si>
  <si>
    <t>昨天喝一瓶黄盖汾</t>
  </si>
  <si>
    <t>2026-04-21</t>
  </si>
  <si>
    <t>喝酒水肿</t>
  </si>
  <si>
    <t>2026-04-22</t>
  </si>
  <si>
    <t>应该从周六算的，周末一天吃螺狮粉，一天喝酒，直接打乱了这周原本的减脂节奏</t>
  </si>
  <si>
    <t>2026-04-23</t>
  </si>
  <si>
    <t>2026-04-24</t>
  </si>
  <si>
    <t>我还以为今天能下八十呢，昨天吃多了？第五周减少1.75</t>
  </si>
  <si>
    <t>2026-04-25</t>
  </si>
  <si>
    <t>周五晚+周六喝了2/3瓶黄盖汾</t>
  </si>
  <si>
    <t>2026-04-26</t>
  </si>
  <si>
    <t>周末不要乱吃，期望周末可以到80以下</t>
  </si>
  <si>
    <t>2026-04-27</t>
  </si>
  <si>
    <t>今天多加了半个馒头，多吃了几包辣条：麻辣王子，卫龙素毛肚，亲嘴烧，魔芋爽等</t>
  </si>
  <si>
    <t>2026-04-28</t>
  </si>
  <si>
    <t>今天下午公司又party</t>
  </si>
  <si>
    <t>2026-04-29</t>
  </si>
  <si>
    <t>2026-04-30</t>
  </si>
  <si>
    <t>2026-05-01</t>
  </si>
  <si>
    <t>五一有点难说，放假前能见到79以下</t>
  </si>
  <si>
    <t>2026-05-02</t>
  </si>
  <si>
    <t>2026-05-03</t>
  </si>
  <si>
    <t>2026-05-04</t>
  </si>
  <si>
    <t>2026-05-05</t>
  </si>
  <si>
    <t>2026-05-06</t>
  </si>
  <si>
    <t>2026-05-07</t>
  </si>
  <si>
    <t>2026-05-08</t>
  </si>
  <si>
    <t>2026-05-09</t>
  </si>
  <si>
    <t>2026-05-10</t>
  </si>
  <si>
    <t>2026-05-11</t>
  </si>
  <si>
    <t>2026-05-12</t>
  </si>
  <si>
    <t>2026-05-13</t>
  </si>
  <si>
    <t>2026-05-14</t>
  </si>
  <si>
    <t>2026-05-15</t>
  </si>
  <si>
    <t>2026-05-16</t>
  </si>
  <si>
    <t>2026-05-17</t>
  </si>
  <si>
    <t>2026-05-18</t>
  </si>
  <si>
    <t>2026-05-19</t>
  </si>
  <si>
    <t>2026-05-20</t>
  </si>
  <si>
    <t>2026-05-21</t>
  </si>
  <si>
    <t>2026-05-22</t>
  </si>
  <si>
    <t>2026-05-23</t>
  </si>
  <si>
    <t>2026-05-24</t>
  </si>
  <si>
    <t>2026-05-25</t>
  </si>
  <si>
    <t>2026-05-26</t>
  </si>
  <si>
    <t>2026-05-27</t>
  </si>
  <si>
    <t>2026-05-28</t>
  </si>
  <si>
    <t>2026-05-29</t>
  </si>
  <si>
    <t>2026-05-30</t>
  </si>
  <si>
    <t>2026-05-31</t>
  </si>
  <si>
    <t>2026-06-01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</si>
</sst>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b/>
      <sz val="1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D9EAF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4" borderId="4" applyNumberFormat="0" applyAlignment="0" applyProtection="0">
      <alignment vertical="center"/>
    </xf>
    <xf numFmtId="0" fontId="11" fillId="5" borderId="5" applyNumberFormat="0" applyAlignment="0" applyProtection="0">
      <alignment vertical="center"/>
    </xf>
    <xf numFmtId="0" fontId="12" fillId="5" borderId="4" applyNumberFormat="0" applyAlignment="0" applyProtection="0">
      <alignment vertical="center"/>
    </xf>
    <xf numFmtId="0" fontId="13" fillId="6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vertical="top"/>
    </xf>
    <xf numFmtId="2" fontId="0" fillId="0" borderId="0" xfId="0" applyNumberFormat="1" applyAlignment="1">
      <alignment vertical="top"/>
    </xf>
    <xf numFmtId="2" fontId="0" fillId="0" borderId="0" xfId="0" applyNumberForma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79"/>
  <sheetViews>
    <sheetView tabSelected="1" workbookViewId="0">
      <pane ySplit="1" topLeftCell="A46" activePane="bottomLeft" state="frozen"/>
      <selection/>
      <selection pane="bottomLeft" activeCell="H65" sqref="H65"/>
    </sheetView>
  </sheetViews>
  <sheetFormatPr defaultColWidth="9" defaultRowHeight="16.8" outlineLevelCol="6"/>
  <cols>
    <col min="1" max="1" width="14" customWidth="1"/>
    <col min="2" max="2" width="8" customWidth="1"/>
    <col min="3" max="3" width="28" customWidth="1"/>
    <col min="4" max="6" width="10" customWidth="1"/>
    <col min="7" max="7" width="40" customWidth="1"/>
  </cols>
  <sheetData>
    <row r="1" spans="1: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>
      <c r="A2" s="2" t="s">
        <v>7</v>
      </c>
      <c r="B2" s="2" t="s">
        <v>8</v>
      </c>
      <c r="C2" s="2" t="s">
        <v>9</v>
      </c>
      <c r="D2" s="3">
        <v>88.4</v>
      </c>
      <c r="E2" s="3" t="s">
        <v>9</v>
      </c>
      <c r="F2" s="3" t="s">
        <v>9</v>
      </c>
      <c r="G2" s="2" t="s">
        <v>9</v>
      </c>
    </row>
    <row r="3" spans="1:7">
      <c r="A3" s="2" t="s">
        <v>10</v>
      </c>
      <c r="B3" s="2" t="s">
        <v>11</v>
      </c>
      <c r="C3" s="2" t="s">
        <v>9</v>
      </c>
      <c r="D3" s="3">
        <v>88.9</v>
      </c>
      <c r="E3" s="3">
        <f t="shared" ref="E3:E66" si="0">IF(OR(D3="",D2=""),"",ROUND(D2-D3,2))</f>
        <v>-0.5</v>
      </c>
      <c r="F3" s="3" t="s">
        <v>9</v>
      </c>
      <c r="G3" s="2" t="s">
        <v>9</v>
      </c>
    </row>
    <row r="4" spans="1:7">
      <c r="A4" s="2" t="s">
        <v>12</v>
      </c>
      <c r="B4" s="2" t="s">
        <v>13</v>
      </c>
      <c r="C4" s="2" t="s">
        <v>9</v>
      </c>
      <c r="D4" s="3">
        <v>89.15</v>
      </c>
      <c r="E4" s="3">
        <f t="shared" si="0"/>
        <v>-0.25</v>
      </c>
      <c r="F4" s="3" t="s">
        <v>9</v>
      </c>
      <c r="G4" s="2" t="s">
        <v>9</v>
      </c>
    </row>
    <row r="5" spans="1:7">
      <c r="A5" s="2" t="s">
        <v>14</v>
      </c>
      <c r="B5" s="2" t="s">
        <v>15</v>
      </c>
      <c r="C5" s="2" t="s">
        <v>9</v>
      </c>
      <c r="D5" s="3">
        <v>88.9</v>
      </c>
      <c r="E5" s="3">
        <f t="shared" si="0"/>
        <v>0.25</v>
      </c>
      <c r="F5" s="3" t="s">
        <v>9</v>
      </c>
      <c r="G5" s="2" t="s">
        <v>9</v>
      </c>
    </row>
    <row r="6" spans="1:7">
      <c r="A6" s="2" t="s">
        <v>16</v>
      </c>
      <c r="B6" s="2" t="s">
        <v>17</v>
      </c>
      <c r="C6" s="2" t="s">
        <v>9</v>
      </c>
      <c r="D6" s="3">
        <v>88.95</v>
      </c>
      <c r="E6" s="3">
        <f t="shared" si="0"/>
        <v>-0.05</v>
      </c>
      <c r="F6" s="3" t="s">
        <v>9</v>
      </c>
      <c r="G6" s="2" t="s">
        <v>18</v>
      </c>
    </row>
    <row r="7" spans="1:7">
      <c r="A7" s="2" t="s">
        <v>19</v>
      </c>
      <c r="B7" s="2" t="s">
        <v>20</v>
      </c>
      <c r="C7" s="2" t="s">
        <v>9</v>
      </c>
      <c r="D7" s="3">
        <v>88.05</v>
      </c>
      <c r="E7" s="3">
        <f t="shared" si="0"/>
        <v>0.9</v>
      </c>
      <c r="F7" s="3">
        <f>IF(D7="","",ROUND(D7-D7,2))</f>
        <v>0</v>
      </c>
      <c r="G7" s="2" t="s">
        <v>9</v>
      </c>
    </row>
    <row r="8" spans="1:7">
      <c r="A8" s="2" t="s">
        <v>21</v>
      </c>
      <c r="B8" s="2" t="s">
        <v>15</v>
      </c>
      <c r="C8" s="2" t="s">
        <v>9</v>
      </c>
      <c r="D8" s="3">
        <v>88</v>
      </c>
      <c r="E8" s="3">
        <f t="shared" si="0"/>
        <v>0.05</v>
      </c>
      <c r="F8" s="3">
        <f>IF(D8="","",ROUND(D7-D8,2))</f>
        <v>0.05</v>
      </c>
      <c r="G8" s="2" t="s">
        <v>9</v>
      </c>
    </row>
    <row r="9" spans="1:7">
      <c r="A9" s="2" t="s">
        <v>22</v>
      </c>
      <c r="B9" s="2" t="s">
        <v>8</v>
      </c>
      <c r="C9" s="2" t="s">
        <v>9</v>
      </c>
      <c r="D9" s="3">
        <v>87.35</v>
      </c>
      <c r="E9" s="3">
        <f t="shared" si="0"/>
        <v>0.65</v>
      </c>
      <c r="F9" s="3">
        <f>IF(D9="","",ROUND(D7-D9,2))</f>
        <v>0.7</v>
      </c>
      <c r="G9" s="2" t="s">
        <v>9</v>
      </c>
    </row>
    <row r="10" spans="1:7">
      <c r="A10" s="2" t="s">
        <v>23</v>
      </c>
      <c r="B10" s="2" t="s">
        <v>13</v>
      </c>
      <c r="C10" s="2" t="s">
        <v>9</v>
      </c>
      <c r="D10" s="3">
        <v>86.45</v>
      </c>
      <c r="E10" s="3">
        <f t="shared" si="0"/>
        <v>0.9</v>
      </c>
      <c r="F10" s="3">
        <f>IF(D10="","",ROUND(D7-D10,2))</f>
        <v>1.6</v>
      </c>
      <c r="G10" s="2" t="s">
        <v>9</v>
      </c>
    </row>
    <row r="11" spans="1:7">
      <c r="A11" s="2" t="s">
        <v>24</v>
      </c>
      <c r="B11" s="2" t="s">
        <v>25</v>
      </c>
      <c r="C11" s="2" t="s">
        <v>9</v>
      </c>
      <c r="D11" s="3">
        <v>86.7</v>
      </c>
      <c r="E11" s="3">
        <f t="shared" si="0"/>
        <v>-0.25</v>
      </c>
      <c r="F11" s="3">
        <f>IF(D11="","",ROUND(D7-D11,2))</f>
        <v>1.35</v>
      </c>
      <c r="G11" s="2" t="s">
        <v>9</v>
      </c>
    </row>
    <row r="12" spans="1:7">
      <c r="A12" s="2" t="s">
        <v>26</v>
      </c>
      <c r="B12" s="2" t="s">
        <v>17</v>
      </c>
      <c r="C12" s="2" t="s">
        <v>9</v>
      </c>
      <c r="D12" s="3">
        <v>86.15</v>
      </c>
      <c r="E12" s="3">
        <f t="shared" si="0"/>
        <v>0.55</v>
      </c>
      <c r="F12" s="3">
        <f>IF(D12="","",ROUND(D7-D12,2))</f>
        <v>1.9</v>
      </c>
      <c r="G12" s="2" t="s">
        <v>27</v>
      </c>
    </row>
    <row r="13" spans="1:7">
      <c r="A13" s="2" t="s">
        <v>28</v>
      </c>
      <c r="B13" s="2" t="s">
        <v>20</v>
      </c>
      <c r="C13" s="2" t="s">
        <v>9</v>
      </c>
      <c r="D13" s="3">
        <v>86.5</v>
      </c>
      <c r="E13" s="3">
        <f t="shared" si="0"/>
        <v>-0.35</v>
      </c>
      <c r="F13" s="3">
        <f>IF(D13="","",ROUND(D7-D13,2))</f>
        <v>1.55</v>
      </c>
      <c r="G13" s="2" t="s">
        <v>29</v>
      </c>
    </row>
    <row r="14" spans="1:7">
      <c r="A14" s="2" t="s">
        <v>30</v>
      </c>
      <c r="B14" s="2" t="s">
        <v>15</v>
      </c>
      <c r="C14" s="2" t="s">
        <v>9</v>
      </c>
      <c r="D14" s="3">
        <v>86.3</v>
      </c>
      <c r="E14" s="3">
        <f t="shared" si="0"/>
        <v>0.2</v>
      </c>
      <c r="F14" s="3">
        <f>IF(D14="","",ROUND(D7-D14,2))</f>
        <v>1.75</v>
      </c>
      <c r="G14" s="2" t="s">
        <v>9</v>
      </c>
    </row>
    <row r="15" spans="1:7">
      <c r="A15" s="2" t="s">
        <v>31</v>
      </c>
      <c r="B15" s="2" t="s">
        <v>8</v>
      </c>
      <c r="C15" s="2" t="s">
        <v>9</v>
      </c>
      <c r="D15" s="3">
        <v>86.35</v>
      </c>
      <c r="E15" s="3">
        <f t="shared" si="0"/>
        <v>-0.05</v>
      </c>
      <c r="F15" s="3">
        <f>IF(D15="","",ROUND(D7-D15,2))</f>
        <v>1.7</v>
      </c>
      <c r="G15" s="2" t="s">
        <v>9</v>
      </c>
    </row>
    <row r="16" spans="1:7">
      <c r="A16" s="2" t="s">
        <v>32</v>
      </c>
      <c r="B16" s="2" t="s">
        <v>11</v>
      </c>
      <c r="C16" s="2" t="s">
        <v>9</v>
      </c>
      <c r="D16" s="3">
        <v>86.15</v>
      </c>
      <c r="E16" s="3">
        <f t="shared" si="0"/>
        <v>0.2</v>
      </c>
      <c r="F16" s="3">
        <f>IF(D16="","",ROUND(D7-D16,2))</f>
        <v>1.9</v>
      </c>
      <c r="G16" s="2" t="s">
        <v>9</v>
      </c>
    </row>
    <row r="17" spans="1:7">
      <c r="A17" s="2" t="s">
        <v>33</v>
      </c>
      <c r="B17" s="2" t="s">
        <v>13</v>
      </c>
      <c r="C17" s="2" t="s">
        <v>9</v>
      </c>
      <c r="D17" s="3">
        <v>85.9</v>
      </c>
      <c r="E17" s="3">
        <f t="shared" si="0"/>
        <v>0.25</v>
      </c>
      <c r="F17" s="3">
        <f>IF(D17="","",ROUND(D7-D17,2))</f>
        <v>2.15</v>
      </c>
      <c r="G17" s="2" t="s">
        <v>9</v>
      </c>
    </row>
    <row r="18" spans="1:7">
      <c r="A18" s="2" t="s">
        <v>34</v>
      </c>
      <c r="B18" s="2" t="s">
        <v>25</v>
      </c>
      <c r="C18" s="2" t="s">
        <v>9</v>
      </c>
      <c r="D18" s="3">
        <v>86.25</v>
      </c>
      <c r="E18" s="3">
        <f t="shared" si="0"/>
        <v>-0.35</v>
      </c>
      <c r="F18" s="3">
        <f>IF(D18="","",ROUND(D7-D18,2))</f>
        <v>1.8</v>
      </c>
      <c r="G18" s="2" t="s">
        <v>35</v>
      </c>
    </row>
    <row r="19" spans="1:7">
      <c r="A19" s="2" t="s">
        <v>36</v>
      </c>
      <c r="B19" s="2" t="s">
        <v>17</v>
      </c>
      <c r="C19" s="2" t="s">
        <v>9</v>
      </c>
      <c r="D19" s="3">
        <v>85.75</v>
      </c>
      <c r="E19" s="3">
        <f t="shared" si="0"/>
        <v>0.5</v>
      </c>
      <c r="F19" s="3">
        <f>IF(D19="","",ROUND(D7-D19,2))</f>
        <v>2.3</v>
      </c>
      <c r="G19" s="2" t="s">
        <v>9</v>
      </c>
    </row>
    <row r="20" spans="1:7">
      <c r="A20" s="2" t="s">
        <v>37</v>
      </c>
      <c r="B20" s="2" t="s">
        <v>20</v>
      </c>
      <c r="C20" s="2" t="s">
        <v>9</v>
      </c>
      <c r="D20" s="3">
        <v>85.2</v>
      </c>
      <c r="E20" s="3">
        <f t="shared" si="0"/>
        <v>0.55</v>
      </c>
      <c r="F20" s="3">
        <f>IF(D20="","",ROUND(D7-D20,2))</f>
        <v>2.85</v>
      </c>
      <c r="G20" s="2" t="s">
        <v>38</v>
      </c>
    </row>
    <row r="21" spans="1:7">
      <c r="A21" s="2" t="s">
        <v>39</v>
      </c>
      <c r="B21" s="2" t="s">
        <v>15</v>
      </c>
      <c r="C21" s="2" t="s">
        <v>9</v>
      </c>
      <c r="D21" s="3">
        <v>85.65</v>
      </c>
      <c r="E21" s="3">
        <f t="shared" si="0"/>
        <v>-0.45</v>
      </c>
      <c r="F21" s="3">
        <f>IF(D21="","",ROUND(D7-D21,2))</f>
        <v>2.4</v>
      </c>
      <c r="G21" s="2" t="s">
        <v>9</v>
      </c>
    </row>
    <row r="22" spans="1:7">
      <c r="A22" s="2" t="s">
        <v>40</v>
      </c>
      <c r="B22" s="2" t="s">
        <v>8</v>
      </c>
      <c r="C22" s="2" t="s">
        <v>9</v>
      </c>
      <c r="D22" s="3">
        <v>85.55</v>
      </c>
      <c r="E22" s="3">
        <f t="shared" si="0"/>
        <v>0.1</v>
      </c>
      <c r="F22" s="3">
        <f>IF(D22="","",ROUND(D7-D22,2))</f>
        <v>2.5</v>
      </c>
      <c r="G22" s="2" t="s">
        <v>9</v>
      </c>
    </row>
    <row r="23" spans="1:7">
      <c r="A23" s="2" t="s">
        <v>41</v>
      </c>
      <c r="B23" s="2" t="s">
        <v>11</v>
      </c>
      <c r="C23" s="2" t="s">
        <v>9</v>
      </c>
      <c r="D23" s="3">
        <v>85.4</v>
      </c>
      <c r="E23" s="3">
        <f t="shared" si="0"/>
        <v>0.15</v>
      </c>
      <c r="F23" s="3">
        <f>IF(D23="","",ROUND(D7-D23,2))</f>
        <v>2.65</v>
      </c>
      <c r="G23" s="2" t="s">
        <v>9</v>
      </c>
    </row>
    <row r="24" spans="1:7">
      <c r="A24" s="2" t="s">
        <v>42</v>
      </c>
      <c r="B24" s="2" t="s">
        <v>13</v>
      </c>
      <c r="C24" s="2" t="s">
        <v>9</v>
      </c>
      <c r="D24" s="3">
        <v>85.3</v>
      </c>
      <c r="E24" s="3">
        <f t="shared" si="0"/>
        <v>0.1</v>
      </c>
      <c r="F24" s="3">
        <f>IF(D24="","",ROUND(D7-D24,2))</f>
        <v>2.75</v>
      </c>
      <c r="G24" s="2" t="s">
        <v>9</v>
      </c>
    </row>
    <row r="25" spans="1:7">
      <c r="A25" s="2" t="s">
        <v>43</v>
      </c>
      <c r="B25" s="2" t="s">
        <v>25</v>
      </c>
      <c r="C25" s="2" t="s">
        <v>9</v>
      </c>
      <c r="D25" s="3">
        <v>84.9</v>
      </c>
      <c r="E25" s="3">
        <f t="shared" si="0"/>
        <v>0.4</v>
      </c>
      <c r="F25" s="3">
        <f>IF(D25="","",ROUND(D7-D25,2))</f>
        <v>3.15</v>
      </c>
      <c r="G25" s="2" t="s">
        <v>35</v>
      </c>
    </row>
    <row r="26" spans="1:7">
      <c r="A26" s="2" t="s">
        <v>44</v>
      </c>
      <c r="B26" s="2" t="s">
        <v>17</v>
      </c>
      <c r="C26" s="2" t="s">
        <v>9</v>
      </c>
      <c r="D26" s="3">
        <v>85.35</v>
      </c>
      <c r="E26" s="3">
        <f t="shared" si="0"/>
        <v>-0.45</v>
      </c>
      <c r="F26" s="3">
        <f>IF(D26="","",ROUND(D7-D26,2))</f>
        <v>2.7</v>
      </c>
      <c r="G26" s="2" t="s">
        <v>9</v>
      </c>
    </row>
    <row r="27" spans="1:7">
      <c r="A27" s="2" t="s">
        <v>45</v>
      </c>
      <c r="B27" s="2" t="s">
        <v>20</v>
      </c>
      <c r="C27" s="2" t="s">
        <v>9</v>
      </c>
      <c r="D27" s="3">
        <v>84.85</v>
      </c>
      <c r="E27" s="3">
        <f t="shared" si="0"/>
        <v>0.5</v>
      </c>
      <c r="F27" s="3">
        <f>IF(D27="","",ROUND(D7-D27,2))</f>
        <v>3.2</v>
      </c>
      <c r="G27" s="2" t="s">
        <v>46</v>
      </c>
    </row>
    <row r="28" spans="1:7">
      <c r="A28" s="2" t="s">
        <v>47</v>
      </c>
      <c r="B28" s="2" t="s">
        <v>15</v>
      </c>
      <c r="C28" s="2" t="s">
        <v>9</v>
      </c>
      <c r="D28" s="3">
        <v>84.8</v>
      </c>
      <c r="E28" s="3">
        <f t="shared" si="0"/>
        <v>0.05</v>
      </c>
      <c r="F28" s="3">
        <f>IF(D28="","",ROUND(D7-D28,2))</f>
        <v>3.25</v>
      </c>
      <c r="G28" s="2" t="s">
        <v>48</v>
      </c>
    </row>
    <row r="29" spans="1:7">
      <c r="A29" s="2" t="s">
        <v>49</v>
      </c>
      <c r="B29" s="2" t="s">
        <v>8</v>
      </c>
      <c r="C29" s="2" t="s">
        <v>9</v>
      </c>
      <c r="D29" s="3">
        <v>83.65</v>
      </c>
      <c r="E29" s="3">
        <f t="shared" si="0"/>
        <v>1.15</v>
      </c>
      <c r="F29" s="3">
        <f>IF(D29="","",ROUND(D7-D29,2))</f>
        <v>4.4</v>
      </c>
      <c r="G29" s="2" t="s">
        <v>9</v>
      </c>
    </row>
    <row r="30" spans="1:7">
      <c r="A30" s="2" t="s">
        <v>50</v>
      </c>
      <c r="B30" s="2" t="s">
        <v>11</v>
      </c>
      <c r="C30" s="2" t="s">
        <v>9</v>
      </c>
      <c r="D30" s="3">
        <v>83.5</v>
      </c>
      <c r="E30" s="3">
        <f t="shared" si="0"/>
        <v>0.15</v>
      </c>
      <c r="F30" s="3">
        <f>IF(D30="","",ROUND(D7-D30,2))</f>
        <v>4.55</v>
      </c>
      <c r="G30" s="2" t="s">
        <v>9</v>
      </c>
    </row>
    <row r="31" spans="1:7">
      <c r="A31" s="2" t="s">
        <v>51</v>
      </c>
      <c r="B31" s="2" t="s">
        <v>13</v>
      </c>
      <c r="C31" s="2" t="s">
        <v>9</v>
      </c>
      <c r="D31" s="3">
        <v>83.3</v>
      </c>
      <c r="E31" s="3">
        <f t="shared" si="0"/>
        <v>0.2</v>
      </c>
      <c r="F31" s="3">
        <f>IF(D31="","",ROUND(D7-D31,2))</f>
        <v>4.75</v>
      </c>
      <c r="G31" s="2" t="s">
        <v>9</v>
      </c>
    </row>
    <row r="32" spans="1:7">
      <c r="A32" s="2" t="s">
        <v>52</v>
      </c>
      <c r="B32" s="2" t="s">
        <v>25</v>
      </c>
      <c r="C32" s="2" t="s">
        <v>9</v>
      </c>
      <c r="D32" s="3">
        <v>82.85</v>
      </c>
      <c r="E32" s="3">
        <f t="shared" si="0"/>
        <v>0.45</v>
      </c>
      <c r="F32" s="3">
        <f>IF(D32="","",ROUND(D7-D32,2))</f>
        <v>5.2</v>
      </c>
      <c r="G32" s="2" t="s">
        <v>53</v>
      </c>
    </row>
    <row r="33" spans="1:7">
      <c r="A33" s="2" t="s">
        <v>54</v>
      </c>
      <c r="B33" s="2" t="s">
        <v>17</v>
      </c>
      <c r="C33" s="2" t="s">
        <v>9</v>
      </c>
      <c r="D33" s="3">
        <v>82.75</v>
      </c>
      <c r="E33" s="3">
        <f t="shared" si="0"/>
        <v>0.1</v>
      </c>
      <c r="F33" s="3">
        <f>IF(D33="","",ROUND(D7-D33,2))</f>
        <v>5.3</v>
      </c>
      <c r="G33" s="2" t="s">
        <v>9</v>
      </c>
    </row>
    <row r="34" spans="1:7">
      <c r="A34" s="2" t="s">
        <v>55</v>
      </c>
      <c r="B34" s="2" t="s">
        <v>20</v>
      </c>
      <c r="C34" s="2" t="s">
        <v>56</v>
      </c>
      <c r="D34" s="3">
        <v>82</v>
      </c>
      <c r="E34" s="3">
        <f t="shared" si="0"/>
        <v>0.75</v>
      </c>
      <c r="F34" s="3">
        <f>IF(D34="","",ROUND(D7-D34,2))</f>
        <v>6.05</v>
      </c>
      <c r="G34" s="2" t="s">
        <v>57</v>
      </c>
    </row>
    <row r="35" spans="1:7">
      <c r="A35" s="2" t="s">
        <v>58</v>
      </c>
      <c r="B35" s="2" t="s">
        <v>15</v>
      </c>
      <c r="C35" s="2" t="s">
        <v>59</v>
      </c>
      <c r="D35" s="3">
        <v>81.5</v>
      </c>
      <c r="E35" s="3">
        <f t="shared" si="0"/>
        <v>0.5</v>
      </c>
      <c r="F35" s="3">
        <f>IF(D35="","",ROUND(D7-D35,2))</f>
        <v>6.55</v>
      </c>
      <c r="G35" s="2" t="s">
        <v>9</v>
      </c>
    </row>
    <row r="36" spans="1:7">
      <c r="A36" s="2" t="s">
        <v>60</v>
      </c>
      <c r="B36" s="2" t="s">
        <v>8</v>
      </c>
      <c r="C36" s="2" t="s">
        <v>9</v>
      </c>
      <c r="D36" s="3">
        <v>81.6</v>
      </c>
      <c r="E36" s="3">
        <f t="shared" si="0"/>
        <v>-0.1</v>
      </c>
      <c r="F36" s="3">
        <f>IF(D36="","",ROUND(D7-D36,2))</f>
        <v>6.45</v>
      </c>
      <c r="G36" s="2" t="s">
        <v>61</v>
      </c>
    </row>
    <row r="37" spans="1:7">
      <c r="A37" s="2" t="s">
        <v>62</v>
      </c>
      <c r="B37" s="2" t="s">
        <v>11</v>
      </c>
      <c r="C37" s="2" t="s">
        <v>9</v>
      </c>
      <c r="D37" s="3">
        <v>81.35</v>
      </c>
      <c r="E37" s="3">
        <f t="shared" si="0"/>
        <v>0.25</v>
      </c>
      <c r="F37" s="3">
        <f>IF(D37="","",ROUND(D7-D37,2))</f>
        <v>6.7</v>
      </c>
      <c r="G37" s="2" t="s">
        <v>63</v>
      </c>
    </row>
    <row r="38" spans="1:7">
      <c r="A38" s="2" t="s">
        <v>64</v>
      </c>
      <c r="B38" s="2" t="s">
        <v>13</v>
      </c>
      <c r="C38" s="2" t="s">
        <v>9</v>
      </c>
      <c r="D38" s="3">
        <v>81.6</v>
      </c>
      <c r="E38" s="3">
        <f t="shared" si="0"/>
        <v>-0.25</v>
      </c>
      <c r="F38" s="3">
        <f>IF(D38="","",ROUND(D7-D38,2))</f>
        <v>6.45</v>
      </c>
      <c r="G38" s="2" t="s">
        <v>65</v>
      </c>
    </row>
    <row r="39" spans="1:7">
      <c r="A39" s="2" t="s">
        <v>66</v>
      </c>
      <c r="B39" s="2" t="s">
        <v>25</v>
      </c>
      <c r="C39" s="2" t="s">
        <v>9</v>
      </c>
      <c r="D39" s="3">
        <v>81</v>
      </c>
      <c r="E39" s="3">
        <f t="shared" si="0"/>
        <v>0.6</v>
      </c>
      <c r="F39" s="3">
        <f>IF(D39="","",ROUND(D7-D39,2))</f>
        <v>7.05</v>
      </c>
      <c r="G39" s="2" t="s">
        <v>67</v>
      </c>
    </row>
    <row r="40" spans="1:7">
      <c r="A40" s="2" t="s">
        <v>68</v>
      </c>
      <c r="B40" s="2" t="s">
        <v>17</v>
      </c>
      <c r="C40" s="2" t="s">
        <v>9</v>
      </c>
      <c r="D40" s="3">
        <v>80.4</v>
      </c>
      <c r="E40" s="3">
        <f t="shared" si="0"/>
        <v>0.6</v>
      </c>
      <c r="F40" s="3">
        <f>IF(D40="","",ROUND(D7-D40,2))</f>
        <v>7.65</v>
      </c>
      <c r="G40" s="2" t="s">
        <v>9</v>
      </c>
    </row>
    <row r="41" spans="1:7">
      <c r="A41" s="2" t="s">
        <v>69</v>
      </c>
      <c r="B41" s="2" t="s">
        <v>20</v>
      </c>
      <c r="C41" s="2" t="s">
        <v>9</v>
      </c>
      <c r="D41" s="3">
        <v>80.25</v>
      </c>
      <c r="E41" s="3">
        <f t="shared" si="0"/>
        <v>0.15</v>
      </c>
      <c r="F41" s="3">
        <f>IF(D41="","",ROUND(D7-D41,2))</f>
        <v>7.8</v>
      </c>
      <c r="G41" s="2" t="s">
        <v>70</v>
      </c>
    </row>
    <row r="42" spans="1:7">
      <c r="A42" s="2" t="s">
        <v>71</v>
      </c>
      <c r="B42" s="2" t="s">
        <v>15</v>
      </c>
      <c r="C42" s="2" t="s">
        <v>9</v>
      </c>
      <c r="D42" s="3">
        <v>79.5</v>
      </c>
      <c r="E42" s="3">
        <f t="shared" si="0"/>
        <v>0.75</v>
      </c>
      <c r="F42" s="3">
        <f>IF(D42="","",ROUND(D7-D42,2))</f>
        <v>8.55</v>
      </c>
      <c r="G42" s="2" t="s">
        <v>72</v>
      </c>
    </row>
    <row r="43" spans="1:7">
      <c r="A43" s="2" t="s">
        <v>73</v>
      </c>
      <c r="B43" s="2" t="s">
        <v>8</v>
      </c>
      <c r="C43" s="2" t="s">
        <v>74</v>
      </c>
      <c r="D43" s="3">
        <v>80.2</v>
      </c>
      <c r="E43" s="3">
        <f t="shared" si="0"/>
        <v>-0.7</v>
      </c>
      <c r="F43" s="3">
        <f>IF(D43="","",ROUND(D7-D43,2))</f>
        <v>7.85</v>
      </c>
      <c r="G43" s="2" t="s">
        <v>9</v>
      </c>
    </row>
    <row r="44" spans="1:7">
      <c r="A44" s="2" t="s">
        <v>75</v>
      </c>
      <c r="B44" s="2" t="s">
        <v>11</v>
      </c>
      <c r="C44" s="2" t="s">
        <v>9</v>
      </c>
      <c r="D44" s="3">
        <v>79.15</v>
      </c>
      <c r="E44" s="3">
        <f t="shared" si="0"/>
        <v>1.05</v>
      </c>
      <c r="F44" s="3">
        <f>IF(D44="","",ROUND(D7-D44,2))</f>
        <v>8.9</v>
      </c>
      <c r="G44" s="2" t="s">
        <v>76</v>
      </c>
    </row>
    <row r="45" spans="1:7">
      <c r="A45" s="2" t="s">
        <v>77</v>
      </c>
      <c r="B45" s="2" t="s">
        <v>13</v>
      </c>
      <c r="C45" s="2" t="s">
        <v>9</v>
      </c>
      <c r="D45" s="3">
        <v>79.25</v>
      </c>
      <c r="E45" s="3">
        <f t="shared" si="0"/>
        <v>-0.1</v>
      </c>
      <c r="F45" s="3">
        <f>IF(D45="","",ROUND(D7-D45,2))</f>
        <v>8.8</v>
      </c>
      <c r="G45" s="2" t="s">
        <v>78</v>
      </c>
    </row>
    <row r="46" spans="1:7">
      <c r="A46" s="2" t="s">
        <v>79</v>
      </c>
      <c r="B46" s="2" t="s">
        <v>25</v>
      </c>
      <c r="C46" s="2" t="s">
        <v>9</v>
      </c>
      <c r="D46" s="3">
        <v>80.1</v>
      </c>
      <c r="E46" s="3">
        <f t="shared" si="0"/>
        <v>-0.85</v>
      </c>
      <c r="F46" s="3">
        <f>IF(D46="","",ROUND(D7-D46,2))</f>
        <v>7.95</v>
      </c>
      <c r="G46" s="2" t="s">
        <v>9</v>
      </c>
    </row>
    <row r="47" spans="1:7">
      <c r="A47" s="2" t="s">
        <v>80</v>
      </c>
      <c r="B47" s="2" t="s">
        <v>17</v>
      </c>
      <c r="C47" s="2" t="s">
        <v>9</v>
      </c>
      <c r="D47" s="3">
        <v>79.55</v>
      </c>
      <c r="E47" s="3">
        <f t="shared" si="0"/>
        <v>0.55</v>
      </c>
      <c r="F47" s="3">
        <f>IF(D47="","",ROUND(D7-D47,2))</f>
        <v>8.5</v>
      </c>
      <c r="G47" s="2" t="s">
        <v>9</v>
      </c>
    </row>
    <row r="48" spans="1:7">
      <c r="A48" s="2" t="s">
        <v>81</v>
      </c>
      <c r="B48" s="2" t="s">
        <v>20</v>
      </c>
      <c r="C48" s="2" t="s">
        <v>82</v>
      </c>
      <c r="D48" s="3">
        <v>79.15</v>
      </c>
      <c r="E48" s="3">
        <f t="shared" si="0"/>
        <v>0.4</v>
      </c>
      <c r="F48" s="3">
        <f>IF(D48="","",ROUND(D7-D48,2))</f>
        <v>8.9</v>
      </c>
      <c r="G48" s="2"/>
    </row>
    <row r="49" spans="1:6">
      <c r="A49" t="s">
        <v>83</v>
      </c>
      <c r="B49" t="s">
        <v>15</v>
      </c>
      <c r="D49" s="4">
        <v>79.3</v>
      </c>
      <c r="E49" s="4">
        <f t="shared" si="0"/>
        <v>-0.15</v>
      </c>
      <c r="F49" s="4">
        <f>IF(D49="","",ROUND(D7-D49,2))</f>
        <v>8.75</v>
      </c>
    </row>
    <row r="50" spans="1:6">
      <c r="A50" t="s">
        <v>84</v>
      </c>
      <c r="B50" t="s">
        <v>8</v>
      </c>
      <c r="D50" s="4">
        <v>78.9</v>
      </c>
      <c r="E50" s="4">
        <f t="shared" si="0"/>
        <v>0.4</v>
      </c>
      <c r="F50" s="4">
        <f>IF(D50="","",ROUND(D7-D50,2))</f>
        <v>9.15</v>
      </c>
    </row>
    <row r="51" spans="1:6">
      <c r="A51" t="s">
        <v>85</v>
      </c>
      <c r="B51" t="s">
        <v>11</v>
      </c>
      <c r="D51" s="4">
        <v>78.65</v>
      </c>
      <c r="E51" s="4">
        <f t="shared" si="0"/>
        <v>0.25</v>
      </c>
      <c r="F51" s="4">
        <f>IF(D51="","",ROUND(D7-D51,2))</f>
        <v>9.4</v>
      </c>
    </row>
    <row r="52" spans="1:6">
      <c r="A52" t="s">
        <v>86</v>
      </c>
      <c r="B52" t="s">
        <v>13</v>
      </c>
      <c r="D52" s="4">
        <v>78</v>
      </c>
      <c r="E52" s="4">
        <f t="shared" si="0"/>
        <v>0.65</v>
      </c>
      <c r="F52" s="4">
        <f>IF(D52="","",ROUND(D7-D52,2))</f>
        <v>10.05</v>
      </c>
    </row>
    <row r="53" spans="1:6">
      <c r="A53" t="s">
        <v>87</v>
      </c>
      <c r="B53" t="s">
        <v>25</v>
      </c>
      <c r="D53" s="4">
        <v>77.4</v>
      </c>
      <c r="E53" s="4">
        <f t="shared" si="0"/>
        <v>0.6</v>
      </c>
      <c r="F53" s="4">
        <f>IF(D53="","",ROUND(D7-D53,2))</f>
        <v>10.65</v>
      </c>
    </row>
    <row r="54" spans="1:6">
      <c r="A54" t="s">
        <v>88</v>
      </c>
      <c r="B54" t="s">
        <v>17</v>
      </c>
      <c r="D54" s="4">
        <v>77.55</v>
      </c>
      <c r="E54" s="4">
        <f t="shared" si="0"/>
        <v>-0.15</v>
      </c>
      <c r="F54" s="4">
        <f>IF(D54="","",ROUND(D7-D54,2))</f>
        <v>10.5</v>
      </c>
    </row>
    <row r="55" spans="1:6">
      <c r="A55" t="s">
        <v>89</v>
      </c>
      <c r="B55" t="s">
        <v>20</v>
      </c>
      <c r="D55" s="4">
        <v>77.5</v>
      </c>
      <c r="E55" s="4">
        <f t="shared" si="0"/>
        <v>0.05</v>
      </c>
      <c r="F55" s="4">
        <f>IF(D55="","",ROUND(D7-D55,2))</f>
        <v>10.55</v>
      </c>
    </row>
    <row r="56" spans="1:6">
      <c r="A56" t="s">
        <v>90</v>
      </c>
      <c r="B56" t="s">
        <v>15</v>
      </c>
      <c r="D56" s="4">
        <v>77.1</v>
      </c>
      <c r="E56" s="4">
        <f t="shared" si="0"/>
        <v>0.4</v>
      </c>
      <c r="F56" s="4">
        <f>IF(D56="","",ROUND(D7-D56,2))</f>
        <v>10.95</v>
      </c>
    </row>
    <row r="57" spans="1:6">
      <c r="A57" t="s">
        <v>91</v>
      </c>
      <c r="B57" t="s">
        <v>8</v>
      </c>
      <c r="D57" s="4">
        <v>76.5</v>
      </c>
      <c r="E57" s="4">
        <f t="shared" si="0"/>
        <v>0.6</v>
      </c>
      <c r="F57" s="4">
        <f>IF(D57="","",ROUND(D7-D57,2))</f>
        <v>11.55</v>
      </c>
    </row>
    <row r="58" spans="1:6">
      <c r="A58" t="s">
        <v>92</v>
      </c>
      <c r="B58" t="s">
        <v>11</v>
      </c>
      <c r="D58" s="4">
        <v>77</v>
      </c>
      <c r="E58" s="4">
        <f t="shared" si="0"/>
        <v>-0.5</v>
      </c>
      <c r="F58" s="4">
        <f>IF(D58="","",ROUND(D7-D58,2))</f>
        <v>11.05</v>
      </c>
    </row>
    <row r="59" spans="1:6">
      <c r="A59" t="s">
        <v>93</v>
      </c>
      <c r="B59" t="s">
        <v>13</v>
      </c>
      <c r="D59" s="4">
        <v>77.35</v>
      </c>
      <c r="E59" s="4">
        <f t="shared" si="0"/>
        <v>-0.35</v>
      </c>
      <c r="F59" s="4">
        <f>IF(D59="","",ROUND(D7-D59,2))</f>
        <v>10.7</v>
      </c>
    </row>
    <row r="60" spans="1:6">
      <c r="A60" t="s">
        <v>94</v>
      </c>
      <c r="B60" t="s">
        <v>25</v>
      </c>
      <c r="D60" s="4">
        <v>76.3</v>
      </c>
      <c r="E60" s="4">
        <f t="shared" si="0"/>
        <v>1.05</v>
      </c>
      <c r="F60" s="4">
        <f>IF(D60="","",ROUND(D7-D60,2))</f>
        <v>11.75</v>
      </c>
    </row>
    <row r="61" spans="1:6">
      <c r="A61" t="s">
        <v>95</v>
      </c>
      <c r="B61" t="s">
        <v>17</v>
      </c>
      <c r="D61" s="4">
        <v>75.65</v>
      </c>
      <c r="E61" s="4">
        <f t="shared" si="0"/>
        <v>0.65</v>
      </c>
      <c r="F61" s="4">
        <f>IF(D61="","",ROUND(D7-D61,2))</f>
        <v>12.4</v>
      </c>
    </row>
    <row r="62" spans="1:6">
      <c r="A62" t="s">
        <v>96</v>
      </c>
      <c r="B62" t="s">
        <v>20</v>
      </c>
      <c r="D62" s="4">
        <v>76.4</v>
      </c>
      <c r="E62" s="4">
        <f t="shared" si="0"/>
        <v>-0.75</v>
      </c>
      <c r="F62" s="4">
        <f>IF(D62="","",ROUND(D7-D62,2))</f>
        <v>11.65</v>
      </c>
    </row>
    <row r="63" spans="1:6">
      <c r="A63" t="s">
        <v>97</v>
      </c>
      <c r="B63" t="s">
        <v>15</v>
      </c>
      <c r="D63" s="4">
        <v>76.15</v>
      </c>
      <c r="E63" s="4">
        <f t="shared" si="0"/>
        <v>0.25</v>
      </c>
      <c r="F63" s="4">
        <f>IF(D63="","",ROUND(D7-D63,2))</f>
        <v>11.9</v>
      </c>
    </row>
    <row r="64" spans="1:6">
      <c r="A64" t="s">
        <v>98</v>
      </c>
      <c r="B64" t="s">
        <v>8</v>
      </c>
      <c r="D64" s="4">
        <v>77.05</v>
      </c>
      <c r="E64" s="4">
        <f t="shared" si="0"/>
        <v>-0.9</v>
      </c>
      <c r="F64" s="4">
        <f>IF(D64="","",ROUND(D7-D64,2))</f>
        <v>11</v>
      </c>
    </row>
    <row r="65" spans="1:6">
      <c r="A65" t="s">
        <v>99</v>
      </c>
      <c r="B65" t="s">
        <v>11</v>
      </c>
      <c r="D65" s="4">
        <v>76.7</v>
      </c>
      <c r="E65" s="4">
        <f t="shared" si="0"/>
        <v>0.35</v>
      </c>
      <c r="F65" s="4">
        <f>IF(D65="","",ROUND(D7-D65,2))</f>
        <v>11.35</v>
      </c>
    </row>
    <row r="66" spans="1:6">
      <c r="A66" t="s">
        <v>100</v>
      </c>
      <c r="B66" t="s">
        <v>13</v>
      </c>
      <c r="D66" s="4">
        <v>75.6</v>
      </c>
      <c r="E66" s="4">
        <f t="shared" si="0"/>
        <v>1.1</v>
      </c>
      <c r="F66" s="4">
        <f>IF(D66="","",ROUND(D7-D66,2))</f>
        <v>12.45</v>
      </c>
    </row>
    <row r="67" spans="1:6">
      <c r="A67" t="s">
        <v>101</v>
      </c>
      <c r="B67" t="s">
        <v>25</v>
      </c>
      <c r="D67" s="4">
        <v>75.25</v>
      </c>
      <c r="E67" s="4">
        <f t="shared" ref="E67:E79" si="1">IF(OR(D67="",D66=""),"",ROUND(D66-D67,2))</f>
        <v>0.35</v>
      </c>
      <c r="F67" s="4">
        <f>IF(D67="","",ROUND(D7-D67,2))</f>
        <v>12.8</v>
      </c>
    </row>
    <row r="68" spans="1:6">
      <c r="A68" t="s">
        <v>102</v>
      </c>
      <c r="B68" t="s">
        <v>17</v>
      </c>
      <c r="D68" s="4">
        <v>75.2</v>
      </c>
      <c r="E68" s="4">
        <f t="shared" si="1"/>
        <v>0.05</v>
      </c>
      <c r="F68" s="4">
        <f>IF(D68="","",ROUND(D7-D68,2))</f>
        <v>12.85</v>
      </c>
    </row>
    <row r="69" spans="1:6">
      <c r="A69" t="s">
        <v>103</v>
      </c>
      <c r="B69" t="s">
        <v>20</v>
      </c>
      <c r="D69" s="4">
        <v>75.05</v>
      </c>
      <c r="E69" s="4">
        <f t="shared" si="1"/>
        <v>0.15</v>
      </c>
      <c r="F69" s="4">
        <f>IF(D69="","",ROUND(D7-D69,2))</f>
        <v>13</v>
      </c>
    </row>
    <row r="70" spans="1:6">
      <c r="A70" t="s">
        <v>104</v>
      </c>
      <c r="B70" t="s">
        <v>15</v>
      </c>
      <c r="D70" s="4"/>
      <c r="E70" s="4" t="str">
        <f t="shared" si="1"/>
        <v/>
      </c>
      <c r="F70" s="4" t="str">
        <f>IF(D70="","",ROUND(D7-D70,2))</f>
        <v/>
      </c>
    </row>
    <row r="71" spans="1:6">
      <c r="A71" t="s">
        <v>105</v>
      </c>
      <c r="B71" t="s">
        <v>8</v>
      </c>
      <c r="D71" s="4"/>
      <c r="E71" s="4" t="str">
        <f t="shared" si="1"/>
        <v/>
      </c>
      <c r="F71" s="4" t="str">
        <f>IF(D71="","",ROUND(D7-D71,2))</f>
        <v/>
      </c>
    </row>
    <row r="72" spans="1:6">
      <c r="A72" t="s">
        <v>106</v>
      </c>
      <c r="B72" t="s">
        <v>11</v>
      </c>
      <c r="D72" s="4"/>
      <c r="E72" s="4" t="str">
        <f t="shared" si="1"/>
        <v/>
      </c>
      <c r="F72" s="4" t="str">
        <f>IF(D72="","",ROUND(D7-D72,2))</f>
        <v/>
      </c>
    </row>
    <row r="73" spans="1:6">
      <c r="A73" t="s">
        <v>107</v>
      </c>
      <c r="B73" t="s">
        <v>13</v>
      </c>
      <c r="D73" s="4"/>
      <c r="E73" s="4" t="str">
        <f t="shared" si="1"/>
        <v/>
      </c>
      <c r="F73" s="4" t="str">
        <f>IF(D73="","",ROUND(D7-D73,2))</f>
        <v/>
      </c>
    </row>
    <row r="74" spans="1:6">
      <c r="A74" t="s">
        <v>108</v>
      </c>
      <c r="B74" t="s">
        <v>25</v>
      </c>
      <c r="D74" s="4"/>
      <c r="E74" s="4" t="str">
        <f t="shared" si="1"/>
        <v/>
      </c>
      <c r="F74" s="4" t="str">
        <f>IF(D74="","",ROUND(D7-D74,2))</f>
        <v/>
      </c>
    </row>
    <row r="75" spans="1:6">
      <c r="A75" t="s">
        <v>109</v>
      </c>
      <c r="B75" t="s">
        <v>17</v>
      </c>
      <c r="D75" s="4"/>
      <c r="E75" s="4" t="str">
        <f t="shared" si="1"/>
        <v/>
      </c>
      <c r="F75" s="4" t="str">
        <f>IF(D75="","",ROUND(D7-D75,2))</f>
        <v/>
      </c>
    </row>
    <row r="76" spans="1:6">
      <c r="A76" t="s">
        <v>110</v>
      </c>
      <c r="B76" t="s">
        <v>20</v>
      </c>
      <c r="D76" s="4"/>
      <c r="E76" s="4" t="str">
        <f t="shared" si="1"/>
        <v/>
      </c>
      <c r="F76" s="4" t="str">
        <f>IF(D76="","",ROUND(D7-D76,2))</f>
        <v/>
      </c>
    </row>
    <row r="77" spans="1:6">
      <c r="A77" t="s">
        <v>111</v>
      </c>
      <c r="B77" t="s">
        <v>15</v>
      </c>
      <c r="D77" s="4"/>
      <c r="E77" s="4" t="str">
        <f t="shared" si="1"/>
        <v/>
      </c>
      <c r="F77" s="4" t="str">
        <f>IF(D77="","",ROUND(D7-D77,2))</f>
        <v/>
      </c>
    </row>
    <row r="78" spans="1:6">
      <c r="A78" t="s">
        <v>112</v>
      </c>
      <c r="B78" t="s">
        <v>8</v>
      </c>
      <c r="D78" s="4"/>
      <c r="E78" s="4" t="str">
        <f t="shared" si="1"/>
        <v/>
      </c>
      <c r="F78" s="4" t="str">
        <f>IF(D78="","",ROUND(D7-D78,2))</f>
        <v/>
      </c>
    </row>
    <row r="79" spans="1:6">
      <c r="A79" t="s">
        <v>113</v>
      </c>
      <c r="B79" t="s">
        <v>11</v>
      </c>
      <c r="D79" s="4"/>
      <c r="E79" s="4" t="str">
        <f t="shared" si="1"/>
        <v/>
      </c>
      <c r="F79" s="4" t="str">
        <f>IF(D79="","",ROUND(D7-D79,2))</f>
        <v/>
      </c>
    </row>
  </sheetData>
  <autoFilter xmlns:etc="http://www.wps.cn/officeDocument/2017/etCustomData" ref="A1:G79" etc:filterBottomFollowUsedRange="0">
    <extLst/>
  </autoFilter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减脂日记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baker</cp:lastModifiedBy>
  <dcterms:created xsi:type="dcterms:W3CDTF">2026-05-02T19:00:00Z</dcterms:created>
  <dcterms:modified xsi:type="dcterms:W3CDTF">2026-05-22T16:05:23Z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D74701526F55494F6095FA699A2A5A6F_42</vt:lpwstr>
  </property>
  <property fmtid="{D5CDD505-2E9C-101B-9397-08002B2CF9AE}" pid="3" name="KSOProductBuildVer">
    <vt:lpwstr>2052-12.1.22553.22553</vt:lpwstr>
  </property>
</Properties>
</file>